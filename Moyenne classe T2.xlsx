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im.LAPTOP-4AIHMEIG\OneDrive\Documents\3e\"/>
    </mc:Choice>
  </mc:AlternateContent>
  <xr:revisionPtr revIDLastSave="0" documentId="13_ncr:1_{0BF93F6C-F9AC-4FBC-AF47-E8B02C4F888C}" xr6:coauthVersionLast="46" xr6:coauthVersionMax="46" xr10:uidLastSave="{00000000-0000-0000-0000-000000000000}"/>
  <bookViews>
    <workbookView xWindow="-108" yWindow="-108" windowWidth="23256" windowHeight="12576" xr2:uid="{819B2BD3-AFC1-413F-860F-086F4266DC6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  <c r="I1" i="1"/>
  <c r="W1" i="1"/>
  <c r="V6" i="1"/>
  <c r="K1" i="1"/>
  <c r="O1" i="1"/>
  <c r="N3" i="1"/>
  <c r="C1" i="1"/>
  <c r="E1" i="1"/>
  <c r="S1" i="1"/>
  <c r="M1" i="1"/>
  <c r="G1" i="1"/>
  <c r="V4" i="1"/>
  <c r="V3" i="1" l="1"/>
  <c r="N2" i="1"/>
</calcChain>
</file>

<file path=xl/sharedStrings.xml><?xml version="1.0" encoding="utf-8"?>
<sst xmlns="http://schemas.openxmlformats.org/spreadsheetml/2006/main" count="11" uniqueCount="11">
  <si>
    <t>Français</t>
  </si>
  <si>
    <t>H&amp;G</t>
  </si>
  <si>
    <t>Anglais</t>
  </si>
  <si>
    <t>Espagnol</t>
  </si>
  <si>
    <t>Maths</t>
  </si>
  <si>
    <t>P&amp;C</t>
  </si>
  <si>
    <t>SVT</t>
  </si>
  <si>
    <t>EPS</t>
  </si>
  <si>
    <t>Arts</t>
  </si>
  <si>
    <t>Musique</t>
  </si>
  <si>
    <t>Techno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</si>
</sst>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2B50-0123-49F8-8B24-C02B6E8820BD}">
  <dimension ref="A1:W6"/>
  <sheetViews>
    <sheetView tabSelected="1" workbookViewId="0">
      <selection activeCell="A2" sqref="A2"/>
    </sheetView>
  </sheetViews>
  <sheetFormatPr baseColWidth="10" defaultRowHeight="14.4" x14ac:dyDescent="0.3"/>
  <sheetData>
    <row r="1" spans="1:23" x14ac:dyDescent="0.3">
      <c r="A1">
        <f>(B2*C2+B3*C3+B4*C4+D2*E2+D3*E3+F2*G2+H2*I2+H3*I3+H4*I4+J2*K2+J3*K3+L2*M2+L3*M3+N2*O2+N3*O3+R2*S2+R3*S3+R4*S4+V2*W2+V3*W3+V4*W4+V5*W5+V6*W6)/(C2+C3+C4+E2+E3+G2+I2+I3+I4+K2+K3+M2+M3+O2+O3+S2+S3+S4+W2+W3+W4+W5+W6)</f>
        <v>15.571684848484853</v>
      </c>
      <c r="B1" t="s">
        <v>0</v>
      </c>
      <c r="C1">
        <f>(B2*C2+B3*C3+B4*C4)/(C2+C3+C4)</f>
        <v>17.325714285714287</v>
      </c>
      <c r="D1" t="s">
        <v>1</v>
      </c>
      <c r="E1">
        <f>(D2*E2+D3*E3)/(E2+E3)</f>
        <v>15.633333333333333</v>
      </c>
      <c r="F1" t="s">
        <v>2</v>
      </c>
      <c r="G1">
        <f>(F2*G2)/(G2)</f>
        <v>12.86</v>
      </c>
      <c r="H1" t="s">
        <v>3</v>
      </c>
      <c r="I1">
        <f>(H2*I2+H3*I3+H4*I4)/(I2+I3+I4)</f>
        <v>16.203333333333333</v>
      </c>
      <c r="J1" t="s">
        <v>4</v>
      </c>
      <c r="K1">
        <f>(J2*K2+J3*K3)/(K2+K3)</f>
        <v>12.75</v>
      </c>
      <c r="L1" t="s">
        <v>5</v>
      </c>
      <c r="M1">
        <f>(L2*M2+L3*M3)/(M2+M3)</f>
        <v>14.196666666666667</v>
      </c>
      <c r="N1" t="s">
        <v>6</v>
      </c>
      <c r="O1">
        <f>(N2*O2+N3*O3)/(O2+O3)</f>
        <v>16.311111111111114</v>
      </c>
      <c r="P1" t="s">
        <v>7</v>
      </c>
      <c r="R1" t="s">
        <v>8</v>
      </c>
      <c r="S1">
        <f>(R2*S2+R3*S3+R4*S4)/(S2+S3+S4)</f>
        <v>16.256666666666664</v>
      </c>
      <c r="T1" t="s">
        <v>9</v>
      </c>
      <c r="V1" t="s">
        <v>10</v>
      </c>
      <c r="W1">
        <f>(V2*W2+V3*W3+V4*W4+V5*W5+V6*W6)/(W2+W3+W4+W5+W6)</f>
        <v>15.805999999999999</v>
      </c>
    </row>
    <row r="2" spans="1:23" x14ac:dyDescent="0.3">
      <c r="B2">
        <v>16.690000000000001</v>
      </c>
      <c r="C2">
        <v>1</v>
      </c>
      <c r="D2">
        <v>15.74</v>
      </c>
      <c r="E2">
        <v>1</v>
      </c>
      <c r="F2">
        <v>12.86</v>
      </c>
      <c r="G2">
        <v>2</v>
      </c>
      <c r="H2">
        <v>15.21</v>
      </c>
      <c r="I2">
        <v>1</v>
      </c>
      <c r="J2">
        <v>12.31</v>
      </c>
      <c r="K2">
        <v>0.5</v>
      </c>
      <c r="L2">
        <v>17.53</v>
      </c>
      <c r="M2">
        <v>1</v>
      </c>
      <c r="N2">
        <f>8.44*2</f>
        <v>16.88</v>
      </c>
      <c r="O2">
        <v>1</v>
      </c>
      <c r="R2">
        <v>15.48</v>
      </c>
      <c r="S2">
        <v>1</v>
      </c>
      <c r="V2">
        <v>15.52</v>
      </c>
      <c r="W2">
        <v>1</v>
      </c>
    </row>
    <row r="3" spans="1:23" x14ac:dyDescent="0.3">
      <c r="B3">
        <v>19.059999999999999</v>
      </c>
      <c r="C3">
        <v>0.5</v>
      </c>
      <c r="D3">
        <v>15.58</v>
      </c>
      <c r="E3">
        <v>2</v>
      </c>
      <c r="H3">
        <v>16.04</v>
      </c>
      <c r="I3">
        <v>1</v>
      </c>
      <c r="J3">
        <v>12.97</v>
      </c>
      <c r="K3">
        <v>1</v>
      </c>
      <c r="L3">
        <v>12.53</v>
      </c>
      <c r="M3">
        <v>2</v>
      </c>
      <c r="N3">
        <f>12.02/15*20</f>
        <v>16.026666666666667</v>
      </c>
      <c r="O3">
        <v>2</v>
      </c>
      <c r="R3">
        <v>15.63</v>
      </c>
      <c r="S3">
        <v>1</v>
      </c>
      <c r="V3">
        <f>8.19*2</f>
        <v>16.38</v>
      </c>
      <c r="W3">
        <v>0.75</v>
      </c>
    </row>
    <row r="4" spans="1:23" x14ac:dyDescent="0.3">
      <c r="B4">
        <v>17.21</v>
      </c>
      <c r="C4">
        <v>2</v>
      </c>
      <c r="H4">
        <v>17.36</v>
      </c>
      <c r="I4">
        <v>1</v>
      </c>
      <c r="R4">
        <v>17.66</v>
      </c>
      <c r="S4">
        <v>1</v>
      </c>
      <c r="V4">
        <f>12.28/15*20</f>
        <v>16.373333333333335</v>
      </c>
      <c r="W4">
        <v>0.75</v>
      </c>
    </row>
    <row r="5" spans="1:23" x14ac:dyDescent="0.3">
      <c r="V5">
        <v>17.2</v>
      </c>
      <c r="W5">
        <v>1</v>
      </c>
    </row>
    <row r="6" spans="1:23" x14ac:dyDescent="0.3">
      <c r="V6">
        <f>18.53/25*20</f>
        <v>14.824000000000002</v>
      </c>
      <c r="W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Brun</dc:creator>
  <cp:lastModifiedBy>Maxime Brun</cp:lastModifiedBy>
  <dcterms:created xsi:type="dcterms:W3CDTF">2020-12-15T17:31:58Z</dcterms:created>
  <dcterms:modified xsi:type="dcterms:W3CDTF">2021-03-05T11:32:01Z</dcterms:modified>
</cp:coreProperties>
</file>